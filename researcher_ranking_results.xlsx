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Debug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<sst xmlns="http://schemas.openxmlformats.org/spreadsheetml/2006/main" count="232" uniqueCount="171">
  <si>
    <t xml:space="preserve">Researcher Ranking Results</t>
  </si>
  <si>
    <t xml:space="preserve">Query result export | 20 researchers | Sorted by final_score</t>
  </si>
  <si>
    <t xml:space="preserve">Returned Researchers</t>
  </si>
  <si>
    <t xml:space="preserve">Unique Researchers Found</t>
  </si>
  <si>
    <t xml:space="preserve">Pinecone Match Count</t>
  </si>
  <si>
    <t xml:space="preserve">Final Top K</t>
  </si>
  <si>
    <t xml:space="preserve">Avg Papers/Researcher</t>
  </si>
  <si>
    <t xml:space="preserve">Expansion Rounds</t>
  </si>
  <si>
    <t xml:space="preserve">Rank</t>
  </si>
  <si>
    <t xml:space="preserve">Researcher ID</t>
  </si>
  <si>
    <t xml:space="preserve">Name</t>
  </si>
  <si>
    <t xml:space="preserve">Institution</t>
  </si>
  <si>
    <t xml:space="preserve">Region</t>
  </si>
  <si>
    <t xml:space="preserve">H Score</t>
  </si>
  <si>
    <t xml:space="preserve">Q Score</t>
  </si>
  <si>
    <t xml:space="preserve">Final Score</t>
  </si>
  <si>
    <t xml:space="preserve">Primary Driver</t>
  </si>
  <si>
    <t xml:space="preserve">Reason Summary</t>
  </si>
  <si>
    <t xml:space="preserve">Highlights</t>
  </si>
  <si>
    <t xml:space="preserve">Matched Papers</t>
  </si>
  <si>
    <t xml:space="preserve">H-Index</t>
  </si>
  <si>
    <t xml:space="preserve">Total Citations</t>
  </si>
  <si>
    <t xml:space="preserve">Top Paper 1</t>
  </si>
  <si>
    <t xml:space="preserve">Similarity 1</t>
  </si>
  <si>
    <t xml:space="preserve">Top Paper 2</t>
  </si>
  <si>
    <t xml:space="preserve">Similarity 2</t>
  </si>
  <si>
    <t xml:space="preserve">A5110885212</t>
  </si>
  <si>
    <t xml:space="preserve">R. Kelly Rainer</t>
  </si>
  <si>
    <t xml:space="preserve">Auburn University</t>
  </si>
  <si>
    <t xml:space="preserve">Alabama</t>
  </si>
  <si>
    <t xml:space="preserve">relevance</t>
  </si>
  <si>
    <t xml:space="preserve">Ranks well mainly because the papers are a strong match to the query.</t>
  </si>
  <si>
    <t xml:space="preserve">strong semantic match to the query; recent relevant publications</t>
  </si>
  <si>
    <t xml:space="preserve">How Robotics is Shaping Digital Logistics and Supply Chain Management: An Ongoing Call for Research</t>
  </si>
  <si>
    <t xml:space="preserve">A5100668859</t>
  </si>
  <si>
    <t xml:space="preserve">Joseph Wang</t>
  </si>
  <si>
    <t xml:space="preserve">The University of Sydney</t>
  </si>
  <si>
    <t xml:space="preserve">New South Wales</t>
  </si>
  <si>
    <t xml:space="preserve">impact</t>
  </si>
  <si>
    <t xml:space="preserve">Ranks well mainly because the researcher has strong overall impact metrics.</t>
  </si>
  <si>
    <t xml:space="preserve">high h-index; strong citation profile; recent relevant publications</t>
  </si>
  <si>
    <t xml:space="preserve">Inhalable biohybrid microrobots: a non-invasive approach for lung treatment</t>
  </si>
  <si>
    <t xml:space="preserve">A5079968392</t>
  </si>
  <si>
    <t xml:space="preserve">Metin Sitti</t>
  </si>
  <si>
    <t xml:space="preserve">University of Stuttgart</t>
  </si>
  <si>
    <t xml:space="preserve">DE</t>
  </si>
  <si>
    <t xml:space="preserve">balanced</t>
  </si>
  <si>
    <t xml:space="preserve">Ranks well because both impact and query relevance are strong.</t>
  </si>
  <si>
    <t xml:space="preserve">strong semantic match to the query; strong citation profile; recent relevant publications</t>
  </si>
  <si>
    <t xml:space="preserve">Advancing physical intelligence for autonomous soft robots</t>
  </si>
  <si>
    <t xml:space="preserve">Data-driven design of shape-programmable magnetic soft materials</t>
  </si>
  <si>
    <t xml:space="preserve">A5042307561</t>
  </si>
  <si>
    <t xml:space="preserve">H. Vincent Poor</t>
  </si>
  <si>
    <t xml:space="preserve">Princeton University</t>
  </si>
  <si>
    <t xml:space="preserve">New Jersey</t>
  </si>
  <si>
    <t xml:space="preserve">Federated Learning for Cyber Physical Systems: A Comprehensive Survey</t>
  </si>
  <si>
    <t xml:space="preserve">A5078125284</t>
  </si>
  <si>
    <t xml:space="preserve">Xiangyang Zhu</t>
  </si>
  <si>
    <t xml:space="preserve">American Institute of Biological Sciences</t>
  </si>
  <si>
    <t xml:space="preserve">US</t>
  </si>
  <si>
    <t xml:space="preserve">Soft robotic hand with tactile palm-finger coordination</t>
  </si>
  <si>
    <t xml:space="preserve">A5059407618</t>
  </si>
  <si>
    <t xml:space="preserve">Brad J. Bushman</t>
  </si>
  <si>
    <t xml:space="preserve">The Ohio State University</t>
  </si>
  <si>
    <t xml:space="preserve">Ohio</t>
  </si>
  <si>
    <t xml:space="preserve">strong citation profile; recent relevant publications</t>
  </si>
  <si>
    <t xml:space="preserve">What is robot abuse? A sociotechnical definition</t>
  </si>
  <si>
    <t xml:space="preserve">A5100671882</t>
  </si>
  <si>
    <t xml:space="preserve">Bin He</t>
  </si>
  <si>
    <t xml:space="preserve">Tongji University</t>
  </si>
  <si>
    <t xml:space="preserve">CN</t>
  </si>
  <si>
    <t xml:space="preserve">EEG-based brain-computer interface enables real-time robotic hand control at individual finger level</t>
  </si>
  <si>
    <t xml:space="preserve">A5101867083</t>
  </si>
  <si>
    <t xml:space="preserve">Chen Tang</t>
  </si>
  <si>
    <t xml:space="preserve">Deep Reinforcement Learning for Robotics: A Survey of Real-World Successes</t>
  </si>
  <si>
    <t xml:space="preserve">A5029855909</t>
  </si>
  <si>
    <t xml:space="preserve">Stephen B. Solomon</t>
  </si>
  <si>
    <t xml:space="preserve">Memorial Sloan Kettering Cancer Center</t>
  </si>
  <si>
    <t xml:space="preserve">Evaluation of navigation and robotic systems for percutaneous image-guided interventions: A novel metric for advanced imaging and artificial intelligence integration</t>
  </si>
  <si>
    <t xml:space="preserve">A5063667378</t>
  </si>
  <si>
    <t xml:space="preserve">Zhu Han</t>
  </si>
  <si>
    <t xml:space="preserve">Kyung Hee University</t>
  </si>
  <si>
    <t xml:space="preserve">Seoul</t>
  </si>
  <si>
    <t xml:space="preserve">Advancements in RIS-Assisted UAV for Empowering Multiaccess Edge Computing: A Survey</t>
  </si>
  <si>
    <t xml:space="preserve">A5083450863</t>
  </si>
  <si>
    <t xml:space="preserve">J. Nathan Kutz</t>
  </si>
  <si>
    <t xml:space="preserve">University of Washington</t>
  </si>
  <si>
    <t xml:space="preserve">Washington</t>
  </si>
  <si>
    <t xml:space="preserve">Automating the practice of science: Opportunities, challenges, and implications</t>
  </si>
  <si>
    <t xml:space="preserve">A5075477128</t>
  </si>
  <si>
    <t xml:space="preserve">George Perry</t>
  </si>
  <si>
    <t xml:space="preserve">Neurosciences Institute</t>
  </si>
  <si>
    <t xml:space="preserve">Artificial Intelligence in Science and Society: The Vision of USERN</t>
  </si>
  <si>
    <t xml:space="preserve">A5108339059</t>
  </si>
  <si>
    <t xml:space="preserve">Anthony N. Kuo</t>
  </si>
  <si>
    <t xml:space="preserve">Duke University</t>
  </si>
  <si>
    <t xml:space="preserve">North Carolina</t>
  </si>
  <si>
    <t xml:space="preserve">Robotics and optical coherence tomography: current works and future perspectives [Invited]</t>
  </si>
  <si>
    <t xml:space="preserve">A5066995823</t>
  </si>
  <si>
    <t xml:space="preserve">Ramviyas Parasuraman</t>
  </si>
  <si>
    <t xml:space="preserve">Edge Computing and Its Application in Robotics: A Survey</t>
  </si>
  <si>
    <t xml:space="preserve">A5059371010</t>
  </si>
  <si>
    <t xml:space="preserve">Kerstin Dautenhahn</t>
  </si>
  <si>
    <t xml:space="preserve">University of Hertfordshire</t>
  </si>
  <si>
    <t xml:space="preserve">GB</t>
  </si>
  <si>
    <t xml:space="preserve">The Role of Social Norms in Human–Robot Interaction: A Systematic Review</t>
  </si>
  <si>
    <t xml:space="preserve">A5088329417</t>
  </si>
  <si>
    <t xml:space="preserve">Elliot W. Hawkes</t>
  </si>
  <si>
    <t xml:space="preserve">University of California, Santa Barbara</t>
  </si>
  <si>
    <t xml:space="preserve">California</t>
  </si>
  <si>
    <t xml:space="preserve">Material-like robotic collectives with spatiotemporal control of strength and shape</t>
  </si>
  <si>
    <t xml:space="preserve">A5022382771</t>
  </si>
  <si>
    <t xml:space="preserve">Mingyu Ding</t>
  </si>
  <si>
    <t xml:space="preserve">University of North Carolina at Chapel Hill</t>
  </si>
  <si>
    <t xml:space="preserve">RoboTwin: Dual-Arm Robot Benchmark with Generative Digital Twins</t>
  </si>
  <si>
    <t xml:space="preserve">A5081413425</t>
  </si>
  <si>
    <t xml:space="preserve">Jeffrey Wu</t>
  </si>
  <si>
    <t xml:space="preserve">Precise and dexterous robotic manipulation via human-in-the-loop reinforcement learning</t>
  </si>
  <si>
    <t xml:space="preserve">A5003349673</t>
  </si>
  <si>
    <t xml:space="preserve">Woodrow Hartzog</t>
  </si>
  <si>
    <t xml:space="preserve">Boston University</t>
  </si>
  <si>
    <t xml:space="preserve">Massachusetts</t>
  </si>
  <si>
    <t xml:space="preserve">Unfair and deceptive robots</t>
  </si>
  <si>
    <t xml:space="preserve">A5012390032</t>
  </si>
  <si>
    <t xml:space="preserve">Ajeet Kaushik</t>
  </si>
  <si>
    <t xml:space="preserve">Chaudhary Devi Lal University</t>
  </si>
  <si>
    <t xml:space="preserve">IN</t>
  </si>
  <si>
    <t xml:space="preserve">Soft Robotics for Parkinson’s Disease Supported by Functional Materials and Artificial Intelligence</t>
  </si>
  <si>
    <t xml:space="preserve">Debug Summary</t>
  </si>
  <si>
    <t xml:space="preserve">Metric</t>
  </si>
  <si>
    <t xml:space="preserve">Value</t>
  </si>
  <si>
    <t xml:space="preserve">Depth Enriched Researcher IDs</t>
  </si>
  <si>
    <t xml:space="preserve">initial_top_k</t>
  </si>
  <si>
    <t xml:space="preserve">final_top_k</t>
  </si>
  <si>
    <t xml:space="preserve">A5089550448</t>
  </si>
  <si>
    <t xml:space="preserve">pinecone_match_count</t>
  </si>
  <si>
    <t xml:space="preserve">A5116266179</t>
  </si>
  <si>
    <t xml:space="preserve">unique_researchers_found</t>
  </si>
  <si>
    <t xml:space="preserve">A5101454579</t>
  </si>
  <si>
    <t xml:space="preserve">expansion_rounds</t>
  </si>
  <si>
    <t xml:space="preserve">A5044591082</t>
  </si>
  <si>
    <t xml:space="preserve">min_unique_researchers_target</t>
  </si>
  <si>
    <t xml:space="preserve">target_papers_per_researcher</t>
  </si>
  <si>
    <t xml:space="preserve">A5078885917</t>
  </si>
  <si>
    <t xml:space="preserve">average_papers_per_researcher</t>
  </si>
  <si>
    <t xml:space="preserve">A5116223486</t>
  </si>
  <si>
    <t xml:space="preserve">researchers_with_multiple_matches</t>
  </si>
  <si>
    <t xml:space="preserve">A5112095809</t>
  </si>
  <si>
    <t xml:space="preserve">max_papers_for_any_researcher</t>
  </si>
  <si>
    <t xml:space="preserve">A5054555587</t>
  </si>
  <si>
    <t xml:space="preserve">depth_enrichment_enabled</t>
  </si>
  <si>
    <t xml:space="preserve">True</t>
  </si>
  <si>
    <t xml:space="preserve">A5078350548</t>
  </si>
  <si>
    <t xml:space="preserve">depth_enriched_researcher_count</t>
  </si>
  <si>
    <t xml:space="preserve">A5116576916</t>
  </si>
  <si>
    <t xml:space="preserve">q_scored_researchers</t>
  </si>
  <si>
    <t xml:space="preserve">A5108141426</t>
  </si>
  <si>
    <t xml:space="preserve">candidate_researchers_before_filter</t>
  </si>
  <si>
    <t xml:space="preserve">A5116293031</t>
  </si>
  <si>
    <t xml:space="preserve">candidate_researchers_after_filter</t>
  </si>
  <si>
    <t xml:space="preserve">A5116052945</t>
  </si>
  <si>
    <t xml:space="preserve">returned_researchers</t>
  </si>
  <si>
    <t xml:space="preserve">filtered_out_researchers</t>
  </si>
  <si>
    <t xml:space="preserve">A5052278963</t>
  </si>
  <si>
    <t xml:space="preserve">A5100437444</t>
  </si>
  <si>
    <t xml:space="preserve">A5101200901</t>
  </si>
  <si>
    <t xml:space="preserve">A5074777491</t>
  </si>
  <si>
    <t xml:space="preserve">A5081317264</t>
  </si>
  <si>
    <t xml:space="preserve">A5001173542</t>
  </si>
  <si>
    <t xml:space="preserve">A5107877867</t>
  </si>
  <si>
    <t xml:space="preserve">A5091312106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</si>
</sst>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000"/>
    <numFmt numFmtId="168" formatCode="#,##0"/>
    <numFmt numFmtId="169" formatCode="0.00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1F1F1F"/>
      <name val="Calibri"/>
      <family val="0"/>
      <charset val="1"/>
    </font>
    <font>
      <i val="true"/>
      <sz val="10"/>
      <color rgb="FF4A4A4A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CCCCC"/>
      <rgbColor rgb="FF8B8B8B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4A4A4A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Top 20 Final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"Institution"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Results!$C$9:$C$28</c:f>
              <c:strCache>
                <c:ptCount val="20"/>
                <c:pt idx="0">
                  <c:v>R. Kelly Rainer</c:v>
                </c:pt>
                <c:pt idx="1">
                  <c:v>Joseph Wang</c:v>
                </c:pt>
                <c:pt idx="2">
                  <c:v>Metin Sitti</c:v>
                </c:pt>
                <c:pt idx="3">
                  <c:v>H. Vincent Poor</c:v>
                </c:pt>
                <c:pt idx="4">
                  <c:v>Xiangyang Zhu</c:v>
                </c:pt>
                <c:pt idx="5">
                  <c:v>Brad J. Bushman</c:v>
                </c:pt>
                <c:pt idx="6">
                  <c:v>Bin He</c:v>
                </c:pt>
                <c:pt idx="7">
                  <c:v>Chen Tang</c:v>
                </c:pt>
                <c:pt idx="8">
                  <c:v>Stephen B. Solomon</c:v>
                </c:pt>
                <c:pt idx="9">
                  <c:v>Zhu Han</c:v>
                </c:pt>
                <c:pt idx="10">
                  <c:v>J. Nathan Kutz</c:v>
                </c:pt>
                <c:pt idx="11">
                  <c:v>George Perry</c:v>
                </c:pt>
                <c:pt idx="12">
                  <c:v>Anthony N. Kuo</c:v>
                </c:pt>
                <c:pt idx="13">
                  <c:v>Ramviyas Parasuraman</c:v>
                </c:pt>
                <c:pt idx="14">
                  <c:v>Kerstin Dautenhahn</c:v>
                </c:pt>
                <c:pt idx="15">
                  <c:v>Elliot W. Hawkes</c:v>
                </c:pt>
                <c:pt idx="16">
                  <c:v>Mingyu Ding</c:v>
                </c:pt>
                <c:pt idx="17">
                  <c:v>Jeffrey Wu</c:v>
                </c:pt>
                <c:pt idx="18">
                  <c:v>Woodrow Hartzog</c:v>
                </c:pt>
                <c:pt idx="19">
                  <c:v>Ajeet Kaushik</c:v>
                </c:pt>
              </c:strCache>
            </c:strRef>
          </c:cat>
          <c:val>
            <c:numRef>
              <c:f>Results!$D$9:$D$28</c:f>
              <c:numCache>
                <c:formatCode>General</c:formatCode>
                <c:ptCount val="20"/>
              </c:numCache>
            </c:numRef>
          </c:val>
        </c:ser>
        <c:ser>
          <c:idx val="1"/>
          <c:order val="1"/>
          <c:tx>
            <c:strRef>
              <c:f>"Region"</c:f>
              <c:strCache>
                <c:ptCount val="1"/>
                <c:pt idx="0">
                  <c:v>Region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Results!$C$9:$C$28</c:f>
              <c:strCache>
                <c:ptCount val="20"/>
                <c:pt idx="0">
                  <c:v>R. Kelly Rainer</c:v>
                </c:pt>
                <c:pt idx="1">
                  <c:v>Joseph Wang</c:v>
                </c:pt>
                <c:pt idx="2">
                  <c:v>Metin Sitti</c:v>
                </c:pt>
                <c:pt idx="3">
                  <c:v>H. Vincent Poor</c:v>
                </c:pt>
                <c:pt idx="4">
                  <c:v>Xiangyang Zhu</c:v>
                </c:pt>
                <c:pt idx="5">
                  <c:v>Brad J. Bushman</c:v>
                </c:pt>
                <c:pt idx="6">
                  <c:v>Bin He</c:v>
                </c:pt>
                <c:pt idx="7">
                  <c:v>Chen Tang</c:v>
                </c:pt>
                <c:pt idx="8">
                  <c:v>Stephen B. Solomon</c:v>
                </c:pt>
                <c:pt idx="9">
                  <c:v>Zhu Han</c:v>
                </c:pt>
                <c:pt idx="10">
                  <c:v>J. Nathan Kutz</c:v>
                </c:pt>
                <c:pt idx="11">
                  <c:v>George Perry</c:v>
                </c:pt>
                <c:pt idx="12">
                  <c:v>Anthony N. Kuo</c:v>
                </c:pt>
                <c:pt idx="13">
                  <c:v>Ramviyas Parasuraman</c:v>
                </c:pt>
                <c:pt idx="14">
                  <c:v>Kerstin Dautenhahn</c:v>
                </c:pt>
                <c:pt idx="15">
                  <c:v>Elliot W. Hawkes</c:v>
                </c:pt>
                <c:pt idx="16">
                  <c:v>Mingyu Ding</c:v>
                </c:pt>
                <c:pt idx="17">
                  <c:v>Jeffrey Wu</c:v>
                </c:pt>
                <c:pt idx="18">
                  <c:v>Woodrow Hartzog</c:v>
                </c:pt>
                <c:pt idx="19">
                  <c:v>Ajeet Kaushik</c:v>
                </c:pt>
              </c:strCache>
            </c:strRef>
          </c:cat>
          <c:val>
            <c:numRef>
              <c:f>Results!$E$9:$E$28</c:f>
              <c:numCache>
                <c:formatCode>General</c:formatCode>
                <c:ptCount val="20"/>
              </c:numCache>
            </c:numRef>
          </c:val>
        </c:ser>
        <c:ser>
          <c:idx val="2"/>
          <c:order val="2"/>
          <c:tx>
            <c:strRef>
              <c:f>"H Score"</c:f>
              <c:strCache>
                <c:ptCount val="1"/>
                <c:pt idx="0">
                  <c:v>H Score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Results!$C$9:$C$28</c:f>
              <c:strCache>
                <c:ptCount val="20"/>
                <c:pt idx="0">
                  <c:v>R. Kelly Rainer</c:v>
                </c:pt>
                <c:pt idx="1">
                  <c:v>Joseph Wang</c:v>
                </c:pt>
                <c:pt idx="2">
                  <c:v>Metin Sitti</c:v>
                </c:pt>
                <c:pt idx="3">
                  <c:v>H. Vincent Poor</c:v>
                </c:pt>
                <c:pt idx="4">
                  <c:v>Xiangyang Zhu</c:v>
                </c:pt>
                <c:pt idx="5">
                  <c:v>Brad J. Bushman</c:v>
                </c:pt>
                <c:pt idx="6">
                  <c:v>Bin He</c:v>
                </c:pt>
                <c:pt idx="7">
                  <c:v>Chen Tang</c:v>
                </c:pt>
                <c:pt idx="8">
                  <c:v>Stephen B. Solomon</c:v>
                </c:pt>
                <c:pt idx="9">
                  <c:v>Zhu Han</c:v>
                </c:pt>
                <c:pt idx="10">
                  <c:v>J. Nathan Kutz</c:v>
                </c:pt>
                <c:pt idx="11">
                  <c:v>George Perry</c:v>
                </c:pt>
                <c:pt idx="12">
                  <c:v>Anthony N. Kuo</c:v>
                </c:pt>
                <c:pt idx="13">
                  <c:v>Ramviyas Parasuraman</c:v>
                </c:pt>
                <c:pt idx="14">
                  <c:v>Kerstin Dautenhahn</c:v>
                </c:pt>
                <c:pt idx="15">
                  <c:v>Elliot W. Hawkes</c:v>
                </c:pt>
                <c:pt idx="16">
                  <c:v>Mingyu Ding</c:v>
                </c:pt>
                <c:pt idx="17">
                  <c:v>Jeffrey Wu</c:v>
                </c:pt>
                <c:pt idx="18">
                  <c:v>Woodrow Hartzog</c:v>
                </c:pt>
                <c:pt idx="19">
                  <c:v>Ajeet Kaushik</c:v>
                </c:pt>
              </c:strCache>
            </c:strRef>
          </c:cat>
          <c:val>
            <c:numRef>
              <c:f>Results!$F$9:$F$28</c:f>
              <c:numCache>
                <c:formatCode>General</c:formatCode>
                <c:ptCount val="20"/>
                <c:pt idx="0">
                  <c:v>0.503759</c:v>
                </c:pt>
                <c:pt idx="1">
                  <c:v>0.938692</c:v>
                </c:pt>
                <c:pt idx="2">
                  <c:v>0.758464</c:v>
                </c:pt>
                <c:pt idx="3">
                  <c:v>0.933204</c:v>
                </c:pt>
                <c:pt idx="4">
                  <c:v>0.576489</c:v>
                </c:pt>
                <c:pt idx="5">
                  <c:v>0.693216</c:v>
                </c:pt>
                <c:pt idx="6">
                  <c:v>0.663303</c:v>
                </c:pt>
                <c:pt idx="7">
                  <c:v>0.404661</c:v>
                </c:pt>
                <c:pt idx="8">
                  <c:v>0.632985</c:v>
                </c:pt>
                <c:pt idx="9">
                  <c:v>0.800862</c:v>
                </c:pt>
                <c:pt idx="10">
                  <c:v>0.629378</c:v>
                </c:pt>
                <c:pt idx="11">
                  <c:v>0.858383</c:v>
                </c:pt>
                <c:pt idx="12">
                  <c:v>0.498871</c:v>
                </c:pt>
                <c:pt idx="13">
                  <c:v>0.431485</c:v>
                </c:pt>
                <c:pt idx="14">
                  <c:v>0.648327</c:v>
                </c:pt>
                <c:pt idx="15">
                  <c:v>0.542941</c:v>
                </c:pt>
                <c:pt idx="16">
                  <c:v>0.462375</c:v>
                </c:pt>
                <c:pt idx="17">
                  <c:v>0.43845</c:v>
                </c:pt>
                <c:pt idx="18">
                  <c:v>0.449332</c:v>
                </c:pt>
                <c:pt idx="19">
                  <c:v>0.664331</c:v>
                </c:pt>
              </c:numCache>
            </c:numRef>
          </c:val>
        </c:ser>
        <c:ser>
          <c:idx val="3"/>
          <c:order val="3"/>
          <c:tx>
            <c:strRef>
              <c:f>"Q Score"</c:f>
              <c:strCache>
                <c:ptCount val="1"/>
                <c:pt idx="0">
                  <c:v>Q Score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Results!$C$9:$C$28</c:f>
              <c:strCache>
                <c:ptCount val="20"/>
                <c:pt idx="0">
                  <c:v>R. Kelly Rainer</c:v>
                </c:pt>
                <c:pt idx="1">
                  <c:v>Joseph Wang</c:v>
                </c:pt>
                <c:pt idx="2">
                  <c:v>Metin Sitti</c:v>
                </c:pt>
                <c:pt idx="3">
                  <c:v>H. Vincent Poor</c:v>
                </c:pt>
                <c:pt idx="4">
                  <c:v>Xiangyang Zhu</c:v>
                </c:pt>
                <c:pt idx="5">
                  <c:v>Brad J. Bushman</c:v>
                </c:pt>
                <c:pt idx="6">
                  <c:v>Bin He</c:v>
                </c:pt>
                <c:pt idx="7">
                  <c:v>Chen Tang</c:v>
                </c:pt>
                <c:pt idx="8">
                  <c:v>Stephen B. Solomon</c:v>
                </c:pt>
                <c:pt idx="9">
                  <c:v>Zhu Han</c:v>
                </c:pt>
                <c:pt idx="10">
                  <c:v>J. Nathan Kutz</c:v>
                </c:pt>
                <c:pt idx="11">
                  <c:v>George Perry</c:v>
                </c:pt>
                <c:pt idx="12">
                  <c:v>Anthony N. Kuo</c:v>
                </c:pt>
                <c:pt idx="13">
                  <c:v>Ramviyas Parasuraman</c:v>
                </c:pt>
                <c:pt idx="14">
                  <c:v>Kerstin Dautenhahn</c:v>
                </c:pt>
                <c:pt idx="15">
                  <c:v>Elliot W. Hawkes</c:v>
                </c:pt>
                <c:pt idx="16">
                  <c:v>Mingyu Ding</c:v>
                </c:pt>
                <c:pt idx="17">
                  <c:v>Jeffrey Wu</c:v>
                </c:pt>
                <c:pt idx="18">
                  <c:v>Woodrow Hartzog</c:v>
                </c:pt>
                <c:pt idx="19">
                  <c:v>Ajeet Kaushik</c:v>
                </c:pt>
              </c:strCache>
            </c:strRef>
          </c:cat>
          <c:val>
            <c:numRef>
              <c:f>Results!$G$9:$G$28</c:f>
              <c:numCache>
                <c:formatCode>General</c:formatCode>
                <c:ptCount val="20"/>
                <c:pt idx="0">
                  <c:v>1</c:v>
                </c:pt>
                <c:pt idx="1">
                  <c:v>0.562992</c:v>
                </c:pt>
                <c:pt idx="2">
                  <c:v>0.700734</c:v>
                </c:pt>
                <c:pt idx="3">
                  <c:v>0.427258</c:v>
                </c:pt>
                <c:pt idx="4">
                  <c:v>0.769141</c:v>
                </c:pt>
                <c:pt idx="5">
                  <c:v>0.646129</c:v>
                </c:pt>
                <c:pt idx="6">
                  <c:v>0.672179</c:v>
                </c:pt>
                <c:pt idx="7">
                  <c:v>0.928734</c:v>
                </c:pt>
                <c:pt idx="8">
                  <c:v>0.6748</c:v>
                </c:pt>
                <c:pt idx="9">
                  <c:v>0.504215</c:v>
                </c:pt>
                <c:pt idx="10">
                  <c:v>0.675024</c:v>
                </c:pt>
                <c:pt idx="11">
                  <c:v>0.441685</c:v>
                </c:pt>
                <c:pt idx="12">
                  <c:v>0.777363</c:v>
                </c:pt>
                <c:pt idx="13">
                  <c:v>0.831535</c:v>
                </c:pt>
                <c:pt idx="14">
                  <c:v>0.614456</c:v>
                </c:pt>
                <c:pt idx="15">
                  <c:v>0.719175</c:v>
                </c:pt>
                <c:pt idx="16">
                  <c:v>0.793477</c:v>
                </c:pt>
                <c:pt idx="17">
                  <c:v>0.816579</c:v>
                </c:pt>
                <c:pt idx="18">
                  <c:v>0.805319</c:v>
                </c:pt>
                <c:pt idx="19">
                  <c:v>0.583638</c:v>
                </c:pt>
              </c:numCache>
            </c:numRef>
          </c:val>
        </c:ser>
        <c:ser>
          <c:idx val="4"/>
          <c:order val="4"/>
          <c:tx>
            <c:strRef>
              <c:f>"Final Score"</c:f>
              <c:strCache>
                <c:ptCount val="1"/>
                <c:pt idx="0">
                  <c:v>Final Score</c:v>
                </c:pt>
              </c:strCache>
            </c:strRef>
          </c:tx>
          <c:spPr>
            <a:solidFill>
              <a:srgbClr val="a02b9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Results!$C$9:$C$28</c:f>
              <c:strCache>
                <c:ptCount val="20"/>
                <c:pt idx="0">
                  <c:v>R. Kelly Rainer</c:v>
                </c:pt>
                <c:pt idx="1">
                  <c:v>Joseph Wang</c:v>
                </c:pt>
                <c:pt idx="2">
                  <c:v>Metin Sitti</c:v>
                </c:pt>
                <c:pt idx="3">
                  <c:v>H. Vincent Poor</c:v>
                </c:pt>
                <c:pt idx="4">
                  <c:v>Xiangyang Zhu</c:v>
                </c:pt>
                <c:pt idx="5">
                  <c:v>Brad J. Bushman</c:v>
                </c:pt>
                <c:pt idx="6">
                  <c:v>Bin He</c:v>
                </c:pt>
                <c:pt idx="7">
                  <c:v>Chen Tang</c:v>
                </c:pt>
                <c:pt idx="8">
                  <c:v>Stephen B. Solomon</c:v>
                </c:pt>
                <c:pt idx="9">
                  <c:v>Zhu Han</c:v>
                </c:pt>
                <c:pt idx="10">
                  <c:v>J. Nathan Kutz</c:v>
                </c:pt>
                <c:pt idx="11">
                  <c:v>George Perry</c:v>
                </c:pt>
                <c:pt idx="12">
                  <c:v>Anthony N. Kuo</c:v>
                </c:pt>
                <c:pt idx="13">
                  <c:v>Ramviyas Parasuraman</c:v>
                </c:pt>
                <c:pt idx="14">
                  <c:v>Kerstin Dautenhahn</c:v>
                </c:pt>
                <c:pt idx="15">
                  <c:v>Elliot W. Hawkes</c:v>
                </c:pt>
                <c:pt idx="16">
                  <c:v>Mingyu Ding</c:v>
                </c:pt>
                <c:pt idx="17">
                  <c:v>Jeffrey Wu</c:v>
                </c:pt>
                <c:pt idx="18">
                  <c:v>Woodrow Hartzog</c:v>
                </c:pt>
                <c:pt idx="19">
                  <c:v>Ajeet Kaushik</c:v>
                </c:pt>
              </c:strCache>
            </c:strRef>
          </c:cat>
          <c:val>
            <c:numRef>
              <c:f>Results!$H$9:$H$28</c:f>
              <c:numCache>
                <c:formatCode>General</c:formatCode>
                <c:ptCount val="20"/>
                <c:pt idx="0">
                  <c:v>0.75188</c:v>
                </c:pt>
                <c:pt idx="1">
                  <c:v>0.750842</c:v>
                </c:pt>
                <c:pt idx="2">
                  <c:v>0.729599</c:v>
                </c:pt>
                <c:pt idx="3">
                  <c:v>0.680231</c:v>
                </c:pt>
                <c:pt idx="4">
                  <c:v>0.672815</c:v>
                </c:pt>
                <c:pt idx="5">
                  <c:v>0.669672</c:v>
                </c:pt>
                <c:pt idx="6">
                  <c:v>0.667741</c:v>
                </c:pt>
                <c:pt idx="7">
                  <c:v>0.666697</c:v>
                </c:pt>
                <c:pt idx="8">
                  <c:v>0.653892</c:v>
                </c:pt>
                <c:pt idx="9">
                  <c:v>0.652538</c:v>
                </c:pt>
                <c:pt idx="10">
                  <c:v>0.652201</c:v>
                </c:pt>
                <c:pt idx="11">
                  <c:v>0.650034</c:v>
                </c:pt>
                <c:pt idx="12">
                  <c:v>0.638117</c:v>
                </c:pt>
                <c:pt idx="13">
                  <c:v>0.63151</c:v>
                </c:pt>
                <c:pt idx="14">
                  <c:v>0.631391</c:v>
                </c:pt>
                <c:pt idx="15">
                  <c:v>0.631058</c:v>
                </c:pt>
                <c:pt idx="16">
                  <c:v>0.627926</c:v>
                </c:pt>
                <c:pt idx="17">
                  <c:v>0.627514</c:v>
                </c:pt>
                <c:pt idx="18">
                  <c:v>0.627325</c:v>
                </c:pt>
                <c:pt idx="19">
                  <c:v>0.623984</c:v>
                </c:pt>
              </c:numCache>
            </c:numRef>
          </c:val>
        </c:ser>
        <c:gapWidth val="150"/>
        <c:overlap val="0"/>
        <c:axId val="92140446"/>
        <c:axId val="78656721"/>
      </c:barChart>
      <c:catAx>
        <c:axId val="9214044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656721"/>
        <c:crosses val="autoZero"/>
        <c:auto val="1"/>
        <c:lblAlgn val="ctr"/>
        <c:lblOffset val="100"/>
        <c:noMultiLvlLbl val="0"/>
      </c:catAx>
      <c:valAx>
        <c:axId val="7865672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0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1404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3</xdr:row>
      <xdr:rowOff>0</xdr:rowOff>
    </xdr:from>
    <xdr:to>
      <xdr:col>27</xdr:col>
      <xdr:colOff>599760</xdr:colOff>
      <xdr:row>19</xdr:row>
      <xdr:rowOff>431640</xdr:rowOff>
    </xdr:to>
    <xdr:graphicFrame>
      <xdr:nvGraphicFramePr>
        <xdr:cNvPr id="0" name="Chart"/>
        <xdr:cNvGraphicFramePr/>
      </xdr:nvGraphicFramePr>
      <xdr:xfrm>
        <a:off x="25622280" y="685800"/>
        <a:ext cx="5400360" cy="634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20" activeCellId="0" sqref="B20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1" min="10" style="0" width="38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42"/>
    <col collapsed="false" customWidth="true" hidden="false" outlineLevel="0" max="16" min="16" style="0" width="11"/>
    <col collapsed="false" customWidth="true" hidden="false" outlineLevel="0" max="17" min="17" style="0" width="42"/>
    <col collapsed="false" customWidth="true" hidden="false" outlineLevel="0" max="18" min="18" style="0" width="1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4" t="n">
        <v>20</v>
      </c>
      <c r="C4" s="3" t="s">
        <v>3</v>
      </c>
      <c r="D4" s="4" t="n">
        <v>1989</v>
      </c>
    </row>
    <row r="5" customFormat="false" ht="15" hidden="false" customHeight="false" outlineLevel="0" collapsed="false">
      <c r="A5" s="3" t="s">
        <v>4</v>
      </c>
      <c r="B5" s="4" t="n">
        <v>2000</v>
      </c>
      <c r="C5" s="3" t="s">
        <v>5</v>
      </c>
      <c r="D5" s="4" t="n">
        <v>2000</v>
      </c>
    </row>
    <row r="6" customFormat="false" ht="15" hidden="false" customHeight="false" outlineLevel="0" collapsed="false">
      <c r="A6" s="3" t="s">
        <v>6</v>
      </c>
      <c r="B6" s="5" t="n">
        <v>1.00553041729512</v>
      </c>
      <c r="C6" s="3" t="s">
        <v>7</v>
      </c>
      <c r="D6" s="5" t="n">
        <v>3</v>
      </c>
    </row>
    <row r="8" customFormat="false" ht="32" hidden="false" customHeight="true" outlineLevel="0" collapsed="false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6" t="s">
        <v>24</v>
      </c>
      <c r="R8" s="6" t="s">
        <v>25</v>
      </c>
    </row>
    <row r="9" customFormat="false" ht="34" hidden="false" customHeight="true" outlineLevel="0" collapsed="false">
      <c r="A9" s="7" t="n">
        <v>1</v>
      </c>
      <c r="B9" s="7" t="s">
        <v>26</v>
      </c>
      <c r="C9" s="8" t="s">
        <v>27</v>
      </c>
      <c r="D9" s="8" t="s">
        <v>28</v>
      </c>
      <c r="E9" s="7" t="s">
        <v>29</v>
      </c>
      <c r="F9" s="9" t="n">
        <v>0.503759</v>
      </c>
      <c r="G9" s="9" t="n">
        <v>1</v>
      </c>
      <c r="H9" s="9" t="n">
        <v>0.75188</v>
      </c>
      <c r="I9" s="8" t="s">
        <v>30</v>
      </c>
      <c r="J9" s="8" t="s">
        <v>31</v>
      </c>
      <c r="K9" s="8" t="s">
        <v>32</v>
      </c>
      <c r="L9" s="7" t="n">
        <v>1</v>
      </c>
      <c r="M9" s="7" t="n">
        <v>33</v>
      </c>
      <c r="N9" s="10" t="n">
        <v>4472</v>
      </c>
      <c r="O9" s="8" t="s">
        <v>33</v>
      </c>
      <c r="P9" s="11" t="n">
        <v>0.6431</v>
      </c>
      <c r="Q9" s="8"/>
      <c r="R9" s="11"/>
    </row>
    <row r="10" customFormat="false" ht="34" hidden="false" customHeight="true" outlineLevel="0" collapsed="false">
      <c r="A10" s="7" t="n">
        <v>2</v>
      </c>
      <c r="B10" s="7" t="s">
        <v>34</v>
      </c>
      <c r="C10" s="8" t="s">
        <v>35</v>
      </c>
      <c r="D10" s="8" t="s">
        <v>36</v>
      </c>
      <c r="E10" s="7" t="s">
        <v>37</v>
      </c>
      <c r="F10" s="9" t="n">
        <v>0.938692</v>
      </c>
      <c r="G10" s="9" t="n">
        <v>0.562992</v>
      </c>
      <c r="H10" s="9" t="n">
        <v>0.750842</v>
      </c>
      <c r="I10" s="8" t="s">
        <v>38</v>
      </c>
      <c r="J10" s="8" t="s">
        <v>39</v>
      </c>
      <c r="K10" s="8" t="s">
        <v>40</v>
      </c>
      <c r="L10" s="7" t="n">
        <v>1</v>
      </c>
      <c r="M10" s="7" t="n">
        <v>190</v>
      </c>
      <c r="N10" s="10" t="n">
        <v>136226</v>
      </c>
      <c r="O10" s="8" t="s">
        <v>41</v>
      </c>
      <c r="P10" s="11" t="n">
        <v>0.4568</v>
      </c>
      <c r="Q10" s="8"/>
      <c r="R10" s="11"/>
    </row>
    <row r="11" customFormat="false" ht="34" hidden="false" customHeight="true" outlineLevel="0" collapsed="false">
      <c r="A11" s="7" t="n">
        <v>3</v>
      </c>
      <c r="B11" s="7" t="s">
        <v>42</v>
      </c>
      <c r="C11" s="8" t="s">
        <v>43</v>
      </c>
      <c r="D11" s="8" t="s">
        <v>44</v>
      </c>
      <c r="E11" s="7" t="s">
        <v>45</v>
      </c>
      <c r="F11" s="9" t="n">
        <v>0.758464</v>
      </c>
      <c r="G11" s="9" t="n">
        <v>0.700734</v>
      </c>
      <c r="H11" s="9" t="n">
        <v>0.729599</v>
      </c>
      <c r="I11" s="8" t="s">
        <v>46</v>
      </c>
      <c r="J11" s="8" t="s">
        <v>47</v>
      </c>
      <c r="K11" s="8" t="s">
        <v>48</v>
      </c>
      <c r="L11" s="7" t="n">
        <v>2</v>
      </c>
      <c r="M11" s="7" t="n">
        <v>123</v>
      </c>
      <c r="N11" s="10" t="n">
        <v>55858</v>
      </c>
      <c r="O11" s="8" t="s">
        <v>49</v>
      </c>
      <c r="P11" s="11" t="n">
        <v>0.5124</v>
      </c>
      <c r="Q11" s="8" t="s">
        <v>50</v>
      </c>
      <c r="R11" s="11" t="n">
        <v>0.4944</v>
      </c>
    </row>
    <row r="12" customFormat="false" ht="34" hidden="false" customHeight="true" outlineLevel="0" collapsed="false">
      <c r="A12" s="7" t="n">
        <v>4</v>
      </c>
      <c r="B12" s="7" t="s">
        <v>51</v>
      </c>
      <c r="C12" s="8" t="s">
        <v>52</v>
      </c>
      <c r="D12" s="8" t="s">
        <v>53</v>
      </c>
      <c r="E12" s="7" t="s">
        <v>54</v>
      </c>
      <c r="F12" s="9" t="n">
        <v>0.933204</v>
      </c>
      <c r="G12" s="9" t="n">
        <v>0.427258</v>
      </c>
      <c r="H12" s="9" t="n">
        <v>0.680231</v>
      </c>
      <c r="I12" s="8" t="s">
        <v>38</v>
      </c>
      <c r="J12" s="8" t="s">
        <v>39</v>
      </c>
      <c r="K12" s="8" t="s">
        <v>40</v>
      </c>
      <c r="L12" s="7" t="n">
        <v>1</v>
      </c>
      <c r="M12" s="7" t="n">
        <v>179</v>
      </c>
      <c r="N12" s="10" t="n">
        <v>158800</v>
      </c>
      <c r="O12" s="8" t="s">
        <v>55</v>
      </c>
      <c r="P12" s="11" t="n">
        <v>0.4039</v>
      </c>
      <c r="Q12" s="8"/>
      <c r="R12" s="11"/>
    </row>
    <row r="13" customFormat="false" ht="34" hidden="false" customHeight="true" outlineLevel="0" collapsed="false">
      <c r="A13" s="7" t="n">
        <v>5</v>
      </c>
      <c r="B13" s="7" t="s">
        <v>56</v>
      </c>
      <c r="C13" s="8" t="s">
        <v>57</v>
      </c>
      <c r="D13" s="8" t="s">
        <v>58</v>
      </c>
      <c r="E13" s="7" t="s">
        <v>59</v>
      </c>
      <c r="F13" s="9" t="n">
        <v>0.576489</v>
      </c>
      <c r="G13" s="9" t="n">
        <v>0.769141</v>
      </c>
      <c r="H13" s="9" t="n">
        <v>0.672815</v>
      </c>
      <c r="I13" s="8" t="s">
        <v>30</v>
      </c>
      <c r="J13" s="8" t="s">
        <v>31</v>
      </c>
      <c r="K13" s="8" t="s">
        <v>48</v>
      </c>
      <c r="L13" s="7" t="n">
        <v>1</v>
      </c>
      <c r="M13" s="7" t="n">
        <v>57</v>
      </c>
      <c r="N13" s="10" t="n">
        <v>14314</v>
      </c>
      <c r="O13" s="8" t="s">
        <v>60</v>
      </c>
      <c r="P13" s="11" t="n">
        <v>0.5342</v>
      </c>
      <c r="Q13" s="8"/>
      <c r="R13" s="11"/>
    </row>
    <row r="14" customFormat="false" ht="34" hidden="false" customHeight="true" outlineLevel="0" collapsed="false">
      <c r="A14" s="7" t="n">
        <v>6</v>
      </c>
      <c r="B14" s="7" t="s">
        <v>61</v>
      </c>
      <c r="C14" s="8" t="s">
        <v>62</v>
      </c>
      <c r="D14" s="8" t="s">
        <v>63</v>
      </c>
      <c r="E14" s="7" t="s">
        <v>64</v>
      </c>
      <c r="F14" s="9" t="n">
        <v>0.693216</v>
      </c>
      <c r="G14" s="9" t="n">
        <v>0.646129</v>
      </c>
      <c r="H14" s="9" t="n">
        <v>0.669672</v>
      </c>
      <c r="I14" s="8" t="s">
        <v>46</v>
      </c>
      <c r="J14" s="8" t="s">
        <v>47</v>
      </c>
      <c r="K14" s="8" t="s">
        <v>65</v>
      </c>
      <c r="L14" s="7" t="n">
        <v>1</v>
      </c>
      <c r="M14" s="7" t="n">
        <v>96</v>
      </c>
      <c r="N14" s="10" t="n">
        <v>43229</v>
      </c>
      <c r="O14" s="8" t="s">
        <v>66</v>
      </c>
      <c r="P14" s="11" t="n">
        <v>0.5576</v>
      </c>
      <c r="Q14" s="8"/>
      <c r="R14" s="11"/>
    </row>
    <row r="15" customFormat="false" ht="34" hidden="false" customHeight="true" outlineLevel="0" collapsed="false">
      <c r="A15" s="7" t="n">
        <v>7</v>
      </c>
      <c r="B15" s="7" t="s">
        <v>67</v>
      </c>
      <c r="C15" s="8" t="s">
        <v>68</v>
      </c>
      <c r="D15" s="8" t="s">
        <v>69</v>
      </c>
      <c r="E15" s="7" t="s">
        <v>70</v>
      </c>
      <c r="F15" s="9" t="n">
        <v>0.663303</v>
      </c>
      <c r="G15" s="9" t="n">
        <v>0.672179</v>
      </c>
      <c r="H15" s="9" t="n">
        <v>0.667741</v>
      </c>
      <c r="I15" s="8" t="s">
        <v>46</v>
      </c>
      <c r="J15" s="8" t="s">
        <v>47</v>
      </c>
      <c r="K15" s="8" t="s">
        <v>65</v>
      </c>
      <c r="L15" s="7" t="n">
        <v>1</v>
      </c>
      <c r="M15" s="7" t="n">
        <v>87</v>
      </c>
      <c r="N15" s="10" t="n">
        <v>28782</v>
      </c>
      <c r="O15" s="8" t="s">
        <v>71</v>
      </c>
      <c r="P15" s="11" t="n">
        <v>0.5042</v>
      </c>
      <c r="Q15" s="8"/>
      <c r="R15" s="11"/>
    </row>
    <row r="16" customFormat="false" ht="34" hidden="false" customHeight="true" outlineLevel="0" collapsed="false">
      <c r="A16" s="7" t="n">
        <v>8</v>
      </c>
      <c r="B16" s="7" t="s">
        <v>72</v>
      </c>
      <c r="C16" s="8" t="s">
        <v>73</v>
      </c>
      <c r="D16" s="8" t="s">
        <v>69</v>
      </c>
      <c r="E16" s="7" t="s">
        <v>70</v>
      </c>
      <c r="F16" s="9" t="n">
        <v>0.404661</v>
      </c>
      <c r="G16" s="9" t="n">
        <v>0.928734</v>
      </c>
      <c r="H16" s="9" t="n">
        <v>0.666697</v>
      </c>
      <c r="I16" s="8" t="s">
        <v>30</v>
      </c>
      <c r="J16" s="8" t="s">
        <v>31</v>
      </c>
      <c r="K16" s="8" t="s">
        <v>32</v>
      </c>
      <c r="L16" s="7" t="n">
        <v>1</v>
      </c>
      <c r="M16" s="7" t="n">
        <v>13</v>
      </c>
      <c r="N16" s="10" t="n">
        <v>563</v>
      </c>
      <c r="O16" s="8" t="s">
        <v>74</v>
      </c>
      <c r="P16" s="11" t="n">
        <v>0.5819</v>
      </c>
      <c r="Q16" s="8"/>
      <c r="R16" s="11"/>
    </row>
    <row r="17" customFormat="false" ht="34" hidden="false" customHeight="true" outlineLevel="0" collapsed="false">
      <c r="A17" s="7" t="n">
        <v>9</v>
      </c>
      <c r="B17" s="7" t="s">
        <v>75</v>
      </c>
      <c r="C17" s="8" t="s">
        <v>76</v>
      </c>
      <c r="D17" s="8" t="s">
        <v>77</v>
      </c>
      <c r="E17" s="7" t="s">
        <v>59</v>
      </c>
      <c r="F17" s="9" t="n">
        <v>0.632985</v>
      </c>
      <c r="G17" s="9" t="n">
        <v>0.6748</v>
      </c>
      <c r="H17" s="9" t="n">
        <v>0.653892</v>
      </c>
      <c r="I17" s="8" t="s">
        <v>46</v>
      </c>
      <c r="J17" s="8" t="s">
        <v>47</v>
      </c>
      <c r="K17" s="8" t="s">
        <v>65</v>
      </c>
      <c r="L17" s="7" t="n">
        <v>1</v>
      </c>
      <c r="M17" s="7" t="n">
        <v>74</v>
      </c>
      <c r="N17" s="10" t="n">
        <v>26128</v>
      </c>
      <c r="O17" s="8" t="s">
        <v>78</v>
      </c>
      <c r="P17" s="11" t="n">
        <v>0.525</v>
      </c>
      <c r="Q17" s="8"/>
      <c r="R17" s="11"/>
    </row>
    <row r="18" customFormat="false" ht="34" hidden="false" customHeight="true" outlineLevel="0" collapsed="false">
      <c r="A18" s="7" t="n">
        <v>10</v>
      </c>
      <c r="B18" s="7" t="s">
        <v>79</v>
      </c>
      <c r="C18" s="8" t="s">
        <v>80</v>
      </c>
      <c r="D18" s="8" t="s">
        <v>81</v>
      </c>
      <c r="E18" s="7" t="s">
        <v>82</v>
      </c>
      <c r="F18" s="9" t="n">
        <v>0.800862</v>
      </c>
      <c r="G18" s="9" t="n">
        <v>0.504215</v>
      </c>
      <c r="H18" s="9" t="n">
        <v>0.652538</v>
      </c>
      <c r="I18" s="8" t="s">
        <v>38</v>
      </c>
      <c r="J18" s="8" t="s">
        <v>39</v>
      </c>
      <c r="K18" s="8" t="s">
        <v>40</v>
      </c>
      <c r="L18" s="7" t="n">
        <v>1</v>
      </c>
      <c r="M18" s="7" t="n">
        <v>136</v>
      </c>
      <c r="N18" s="10" t="n">
        <v>90500</v>
      </c>
      <c r="O18" s="8" t="s">
        <v>83</v>
      </c>
      <c r="P18" s="11" t="n">
        <v>0.4278</v>
      </c>
      <c r="Q18" s="8"/>
      <c r="R18" s="11"/>
    </row>
    <row r="19" customFormat="false" ht="34" hidden="false" customHeight="true" outlineLevel="0" collapsed="false">
      <c r="A19" s="7" t="n">
        <v>11</v>
      </c>
      <c r="B19" s="7" t="s">
        <v>84</v>
      </c>
      <c r="C19" s="8" t="s">
        <v>85</v>
      </c>
      <c r="D19" s="8" t="s">
        <v>86</v>
      </c>
      <c r="E19" s="7" t="s">
        <v>87</v>
      </c>
      <c r="F19" s="9" t="n">
        <v>0.629378</v>
      </c>
      <c r="G19" s="9" t="n">
        <v>0.675024</v>
      </c>
      <c r="H19" s="9" t="n">
        <v>0.652201</v>
      </c>
      <c r="I19" s="8" t="s">
        <v>46</v>
      </c>
      <c r="J19" s="8" t="s">
        <v>47</v>
      </c>
      <c r="K19" s="8" t="s">
        <v>65</v>
      </c>
      <c r="L19" s="7" t="n">
        <v>1</v>
      </c>
      <c r="M19" s="7" t="n">
        <v>73</v>
      </c>
      <c r="N19" s="10" t="n">
        <v>29986</v>
      </c>
      <c r="O19" s="8" t="s">
        <v>88</v>
      </c>
      <c r="P19" s="11" t="n">
        <v>0.5113</v>
      </c>
      <c r="Q19" s="8"/>
      <c r="R19" s="11"/>
    </row>
    <row r="20" customFormat="false" ht="34" hidden="false" customHeight="true" outlineLevel="0" collapsed="false">
      <c r="A20" s="7" t="n">
        <v>12</v>
      </c>
      <c r="B20" s="7" t="s">
        <v>89</v>
      </c>
      <c r="C20" s="8" t="s">
        <v>90</v>
      </c>
      <c r="D20" s="8" t="s">
        <v>91</v>
      </c>
      <c r="E20" s="7" t="s">
        <v>59</v>
      </c>
      <c r="F20" s="9" t="n">
        <v>0.858383</v>
      </c>
      <c r="G20" s="9" t="n">
        <v>0.441685</v>
      </c>
      <c r="H20" s="9" t="n">
        <v>0.650034</v>
      </c>
      <c r="I20" s="8" t="s">
        <v>38</v>
      </c>
      <c r="J20" s="8" t="s">
        <v>39</v>
      </c>
      <c r="K20" s="8" t="s">
        <v>40</v>
      </c>
      <c r="L20" s="7" t="n">
        <v>1</v>
      </c>
      <c r="M20" s="7" t="n">
        <v>152</v>
      </c>
      <c r="N20" s="10" t="n">
        <v>101836</v>
      </c>
      <c r="O20" s="8" t="s">
        <v>92</v>
      </c>
      <c r="P20" s="11" t="n">
        <v>0.4444</v>
      </c>
      <c r="Q20" s="8"/>
      <c r="R20" s="11"/>
    </row>
    <row r="21" customFormat="false" ht="34" hidden="false" customHeight="true" outlineLevel="0" collapsed="false">
      <c r="A21" s="7" t="n">
        <v>13</v>
      </c>
      <c r="B21" s="7" t="s">
        <v>93</v>
      </c>
      <c r="C21" s="8" t="s">
        <v>94</v>
      </c>
      <c r="D21" s="8" t="s">
        <v>95</v>
      </c>
      <c r="E21" s="7" t="s">
        <v>96</v>
      </c>
      <c r="F21" s="9" t="n">
        <v>0.498871</v>
      </c>
      <c r="G21" s="9" t="n">
        <v>0.777363</v>
      </c>
      <c r="H21" s="9" t="n">
        <v>0.638117</v>
      </c>
      <c r="I21" s="8" t="s">
        <v>30</v>
      </c>
      <c r="J21" s="8" t="s">
        <v>31</v>
      </c>
      <c r="K21" s="8" t="s">
        <v>32</v>
      </c>
      <c r="L21" s="7" t="n">
        <v>1</v>
      </c>
      <c r="M21" s="7" t="n">
        <v>35</v>
      </c>
      <c r="N21" s="10" t="n">
        <v>4172</v>
      </c>
      <c r="O21" s="8" t="s">
        <v>97</v>
      </c>
      <c r="P21" s="11" t="n">
        <v>0.5728</v>
      </c>
      <c r="Q21" s="8"/>
      <c r="R21" s="11"/>
    </row>
    <row r="22" customFormat="false" ht="34" hidden="false" customHeight="true" outlineLevel="0" collapsed="false">
      <c r="A22" s="7" t="n">
        <v>14</v>
      </c>
      <c r="B22" s="7" t="s">
        <v>98</v>
      </c>
      <c r="C22" s="8" t="s">
        <v>99</v>
      </c>
      <c r="D22" s="8"/>
      <c r="E22" s="7"/>
      <c r="F22" s="9" t="n">
        <v>0.431485</v>
      </c>
      <c r="G22" s="9" t="n">
        <v>0.831535</v>
      </c>
      <c r="H22" s="9" t="n">
        <v>0.63151</v>
      </c>
      <c r="I22" s="8" t="s">
        <v>30</v>
      </c>
      <c r="J22" s="8" t="s">
        <v>31</v>
      </c>
      <c r="K22" s="8" t="s">
        <v>32</v>
      </c>
      <c r="L22" s="7" t="n">
        <v>1</v>
      </c>
      <c r="M22" s="7" t="n">
        <v>18</v>
      </c>
      <c r="N22" s="10" t="n">
        <v>938</v>
      </c>
      <c r="O22" s="8" t="s">
        <v>100</v>
      </c>
      <c r="P22" s="11" t="n">
        <v>0.5998</v>
      </c>
      <c r="Q22" s="8"/>
      <c r="R22" s="11"/>
    </row>
    <row r="23" customFormat="false" ht="34" hidden="false" customHeight="true" outlineLevel="0" collapsed="false">
      <c r="A23" s="7" t="n">
        <v>15</v>
      </c>
      <c r="B23" s="7" t="s">
        <v>101</v>
      </c>
      <c r="C23" s="8" t="s">
        <v>102</v>
      </c>
      <c r="D23" s="8" t="s">
        <v>103</v>
      </c>
      <c r="E23" s="7" t="s">
        <v>104</v>
      </c>
      <c r="F23" s="9" t="n">
        <v>0.648327</v>
      </c>
      <c r="G23" s="9" t="n">
        <v>0.614456</v>
      </c>
      <c r="H23" s="9" t="n">
        <v>0.631391</v>
      </c>
      <c r="I23" s="8" t="s">
        <v>46</v>
      </c>
      <c r="J23" s="8" t="s">
        <v>47</v>
      </c>
      <c r="K23" s="8" t="s">
        <v>65</v>
      </c>
      <c r="L23" s="7" t="n">
        <v>1</v>
      </c>
      <c r="M23" s="7" t="n">
        <v>82</v>
      </c>
      <c r="N23" s="10" t="n">
        <v>26157</v>
      </c>
      <c r="O23" s="8" t="s">
        <v>105</v>
      </c>
      <c r="P23" s="11" t="n">
        <v>0.5123</v>
      </c>
      <c r="Q23" s="8"/>
      <c r="R23" s="11"/>
    </row>
    <row r="24" customFormat="false" ht="34" hidden="false" customHeight="true" outlineLevel="0" collapsed="false">
      <c r="A24" s="7" t="n">
        <v>16</v>
      </c>
      <c r="B24" s="7" t="s">
        <v>106</v>
      </c>
      <c r="C24" s="8" t="s">
        <v>107</v>
      </c>
      <c r="D24" s="8" t="s">
        <v>108</v>
      </c>
      <c r="E24" s="7" t="s">
        <v>109</v>
      </c>
      <c r="F24" s="9" t="n">
        <v>0.542941</v>
      </c>
      <c r="G24" s="9" t="n">
        <v>0.719175</v>
      </c>
      <c r="H24" s="9" t="n">
        <v>0.631058</v>
      </c>
      <c r="I24" s="8" t="s">
        <v>30</v>
      </c>
      <c r="J24" s="8" t="s">
        <v>31</v>
      </c>
      <c r="K24" s="8" t="s">
        <v>32</v>
      </c>
      <c r="L24" s="7" t="n">
        <v>1</v>
      </c>
      <c r="M24" s="7" t="n">
        <v>49</v>
      </c>
      <c r="N24" s="10" t="n">
        <v>7873</v>
      </c>
      <c r="O24" s="8" t="s">
        <v>110</v>
      </c>
      <c r="P24" s="11" t="n">
        <v>0.5499</v>
      </c>
      <c r="Q24" s="8"/>
      <c r="R24" s="11"/>
    </row>
    <row r="25" customFormat="false" ht="34" hidden="false" customHeight="true" outlineLevel="0" collapsed="false">
      <c r="A25" s="7" t="n">
        <v>17</v>
      </c>
      <c r="B25" s="7" t="s">
        <v>111</v>
      </c>
      <c r="C25" s="8" t="s">
        <v>112</v>
      </c>
      <c r="D25" s="8" t="s">
        <v>113</v>
      </c>
      <c r="E25" s="7" t="s">
        <v>96</v>
      </c>
      <c r="F25" s="9" t="n">
        <v>0.462375</v>
      </c>
      <c r="G25" s="9" t="n">
        <v>0.793477</v>
      </c>
      <c r="H25" s="9" t="n">
        <v>0.627926</v>
      </c>
      <c r="I25" s="8" t="s">
        <v>30</v>
      </c>
      <c r="J25" s="8" t="s">
        <v>31</v>
      </c>
      <c r="K25" s="8" t="s">
        <v>32</v>
      </c>
      <c r="L25" s="7" t="n">
        <v>1</v>
      </c>
      <c r="M25" s="7" t="n">
        <v>24</v>
      </c>
      <c r="N25" s="10" t="n">
        <v>2966</v>
      </c>
      <c r="O25" s="8" t="s">
        <v>114</v>
      </c>
      <c r="P25" s="11" t="n">
        <v>0.58</v>
      </c>
      <c r="Q25" s="8"/>
      <c r="R25" s="11"/>
    </row>
    <row r="26" customFormat="false" ht="34" hidden="false" customHeight="true" outlineLevel="0" collapsed="false">
      <c r="A26" s="7" t="n">
        <v>18</v>
      </c>
      <c r="B26" s="7" t="s">
        <v>115</v>
      </c>
      <c r="C26" s="8" t="s">
        <v>116</v>
      </c>
      <c r="D26" s="8" t="s">
        <v>108</v>
      </c>
      <c r="E26" s="7" t="s">
        <v>109</v>
      </c>
      <c r="F26" s="9" t="n">
        <v>0.43845</v>
      </c>
      <c r="G26" s="9" t="n">
        <v>0.816579</v>
      </c>
      <c r="H26" s="9" t="n">
        <v>0.627514</v>
      </c>
      <c r="I26" s="8" t="s">
        <v>30</v>
      </c>
      <c r="J26" s="8" t="s">
        <v>31</v>
      </c>
      <c r="K26" s="8" t="s">
        <v>32</v>
      </c>
      <c r="L26" s="7" t="n">
        <v>1</v>
      </c>
      <c r="M26" s="7" t="n">
        <v>9</v>
      </c>
      <c r="N26" s="10" t="n">
        <v>5572</v>
      </c>
      <c r="O26" s="8" t="s">
        <v>117</v>
      </c>
      <c r="P26" s="11" t="n">
        <v>0.5686</v>
      </c>
      <c r="Q26" s="8"/>
      <c r="R26" s="11"/>
    </row>
    <row r="27" customFormat="false" ht="34" hidden="false" customHeight="true" outlineLevel="0" collapsed="false">
      <c r="A27" s="7" t="n">
        <v>19</v>
      </c>
      <c r="B27" s="7" t="s">
        <v>118</v>
      </c>
      <c r="C27" s="8" t="s">
        <v>119</v>
      </c>
      <c r="D27" s="8" t="s">
        <v>120</v>
      </c>
      <c r="E27" s="7" t="s">
        <v>121</v>
      </c>
      <c r="F27" s="9" t="n">
        <v>0.449332</v>
      </c>
      <c r="G27" s="9" t="n">
        <v>0.805319</v>
      </c>
      <c r="H27" s="9" t="n">
        <v>0.627325</v>
      </c>
      <c r="I27" s="8" t="s">
        <v>30</v>
      </c>
      <c r="J27" s="8" t="s">
        <v>31</v>
      </c>
      <c r="K27" s="8" t="s">
        <v>32</v>
      </c>
      <c r="L27" s="7" t="n">
        <v>1</v>
      </c>
      <c r="M27" s="7" t="n">
        <v>22</v>
      </c>
      <c r="N27" s="10" t="n">
        <v>1594</v>
      </c>
      <c r="O27" s="8" t="s">
        <v>122</v>
      </c>
      <c r="P27" s="11" t="n">
        <v>0.5655</v>
      </c>
      <c r="Q27" s="8"/>
      <c r="R27" s="11"/>
    </row>
    <row r="28" customFormat="false" ht="34" hidden="false" customHeight="true" outlineLevel="0" collapsed="false">
      <c r="A28" s="7" t="n">
        <v>20</v>
      </c>
      <c r="B28" s="7" t="s">
        <v>123</v>
      </c>
      <c r="C28" s="8" t="s">
        <v>124</v>
      </c>
      <c r="D28" s="8" t="s">
        <v>125</v>
      </c>
      <c r="E28" s="7" t="s">
        <v>126</v>
      </c>
      <c r="F28" s="9" t="n">
        <v>0.664331</v>
      </c>
      <c r="G28" s="9" t="n">
        <v>0.583638</v>
      </c>
      <c r="H28" s="9" t="n">
        <v>0.623984</v>
      </c>
      <c r="I28" s="8" t="s">
        <v>46</v>
      </c>
      <c r="J28" s="8" t="s">
        <v>47</v>
      </c>
      <c r="K28" s="8" t="s">
        <v>65</v>
      </c>
      <c r="L28" s="7" t="n">
        <v>1</v>
      </c>
      <c r="M28" s="7" t="n">
        <v>87</v>
      </c>
      <c r="N28" s="10" t="n">
        <v>26536</v>
      </c>
      <c r="O28" s="8" t="s">
        <v>127</v>
      </c>
      <c r="P28" s="11" t="n">
        <v>0.5277</v>
      </c>
      <c r="Q28" s="8"/>
      <c r="R28" s="11"/>
    </row>
  </sheetData>
  <mergeCells count="2">
    <mergeCell ref="A1:R1"/>
    <mergeCell ref="A2: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2" t="s">
        <v>128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3" t="s">
        <v>129</v>
      </c>
      <c r="B3" s="3" t="s">
        <v>130</v>
      </c>
      <c r="D3" s="3" t="s">
        <v>131</v>
      </c>
    </row>
    <row r="4" customFormat="false" ht="15" hidden="false" customHeight="false" outlineLevel="0" collapsed="false">
      <c r="A4" s="13" t="s">
        <v>132</v>
      </c>
      <c r="B4" s="14" t="n">
        <v>500</v>
      </c>
      <c r="D4" s="0" t="s">
        <v>26</v>
      </c>
    </row>
    <row r="5" customFormat="false" ht="15" hidden="false" customHeight="false" outlineLevel="0" collapsed="false">
      <c r="A5" s="13" t="s">
        <v>133</v>
      </c>
      <c r="B5" s="14" t="n">
        <v>2000</v>
      </c>
      <c r="D5" s="0" t="s">
        <v>134</v>
      </c>
    </row>
    <row r="6" customFormat="false" ht="15" hidden="false" customHeight="false" outlineLevel="0" collapsed="false">
      <c r="A6" s="13" t="s">
        <v>135</v>
      </c>
      <c r="B6" s="14" t="n">
        <v>2000</v>
      </c>
      <c r="D6" s="0" t="s">
        <v>136</v>
      </c>
    </row>
    <row r="7" customFormat="false" ht="15" hidden="false" customHeight="false" outlineLevel="0" collapsed="false">
      <c r="A7" s="13" t="s">
        <v>137</v>
      </c>
      <c r="B7" s="14" t="n">
        <v>1989</v>
      </c>
      <c r="D7" s="0" t="s">
        <v>138</v>
      </c>
    </row>
    <row r="8" customFormat="false" ht="15" hidden="false" customHeight="false" outlineLevel="0" collapsed="false">
      <c r="A8" s="13" t="s">
        <v>139</v>
      </c>
      <c r="B8" s="14" t="n">
        <v>3</v>
      </c>
      <c r="D8" s="0" t="s">
        <v>140</v>
      </c>
    </row>
    <row r="9" customFormat="false" ht="15" hidden="false" customHeight="false" outlineLevel="0" collapsed="false">
      <c r="A9" s="13" t="s">
        <v>141</v>
      </c>
      <c r="B9" s="14" t="n">
        <v>25</v>
      </c>
      <c r="D9" s="0" t="s">
        <v>98</v>
      </c>
    </row>
    <row r="10" customFormat="false" ht="15" hidden="false" customHeight="false" outlineLevel="0" collapsed="false">
      <c r="A10" s="13" t="s">
        <v>142</v>
      </c>
      <c r="B10" s="14" t="n">
        <v>2</v>
      </c>
      <c r="D10" s="0" t="s">
        <v>143</v>
      </c>
    </row>
    <row r="11" customFormat="false" ht="15" hidden="false" customHeight="false" outlineLevel="0" collapsed="false">
      <c r="A11" s="13" t="s">
        <v>144</v>
      </c>
      <c r="B11" s="14" t="n">
        <v>1.00553041729512</v>
      </c>
      <c r="D11" s="0" t="s">
        <v>145</v>
      </c>
    </row>
    <row r="12" customFormat="false" ht="15" hidden="false" customHeight="false" outlineLevel="0" collapsed="false">
      <c r="A12" s="13" t="s">
        <v>146</v>
      </c>
      <c r="B12" s="14" t="n">
        <v>11</v>
      </c>
      <c r="D12" s="0" t="s">
        <v>147</v>
      </c>
    </row>
    <row r="13" customFormat="false" ht="15" hidden="false" customHeight="false" outlineLevel="0" collapsed="false">
      <c r="A13" s="13" t="s">
        <v>148</v>
      </c>
      <c r="B13" s="14" t="n">
        <v>2</v>
      </c>
      <c r="D13" s="0" t="s">
        <v>149</v>
      </c>
    </row>
    <row r="14" customFormat="false" ht="15" hidden="false" customHeight="false" outlineLevel="0" collapsed="false">
      <c r="A14" s="13" t="s">
        <v>150</v>
      </c>
      <c r="B14" s="14" t="s">
        <v>151</v>
      </c>
      <c r="D14" s="0" t="s">
        <v>152</v>
      </c>
    </row>
    <row r="15" customFormat="false" ht="15" hidden="false" customHeight="false" outlineLevel="0" collapsed="false">
      <c r="A15" s="13" t="s">
        <v>153</v>
      </c>
      <c r="B15" s="14" t="n">
        <v>25</v>
      </c>
      <c r="D15" s="0" t="s">
        <v>154</v>
      </c>
    </row>
    <row r="16" customFormat="false" ht="15" hidden="false" customHeight="false" outlineLevel="0" collapsed="false">
      <c r="A16" s="13" t="s">
        <v>155</v>
      </c>
      <c r="B16" s="14" t="n">
        <v>1989</v>
      </c>
      <c r="D16" s="0" t="s">
        <v>156</v>
      </c>
    </row>
    <row r="17" customFormat="false" ht="15" hidden="false" customHeight="false" outlineLevel="0" collapsed="false">
      <c r="A17" s="13" t="s">
        <v>157</v>
      </c>
      <c r="B17" s="14" t="n">
        <v>1989</v>
      </c>
      <c r="D17" s="0" t="s">
        <v>158</v>
      </c>
    </row>
    <row r="18" customFormat="false" ht="15" hidden="false" customHeight="false" outlineLevel="0" collapsed="false">
      <c r="A18" s="13" t="s">
        <v>159</v>
      </c>
      <c r="B18" s="14" t="n">
        <v>1987</v>
      </c>
      <c r="D18" s="0" t="s">
        <v>160</v>
      </c>
    </row>
    <row r="19" customFormat="false" ht="15" hidden="false" customHeight="false" outlineLevel="0" collapsed="false">
      <c r="A19" s="13" t="s">
        <v>161</v>
      </c>
      <c r="B19" s="14" t="n">
        <v>20</v>
      </c>
      <c r="D19" s="0" t="s">
        <v>72</v>
      </c>
    </row>
    <row r="20" customFormat="false" ht="15" hidden="false" customHeight="false" outlineLevel="0" collapsed="false">
      <c r="A20" s="0" t="s">
        <v>162</v>
      </c>
      <c r="B20" s="0" t="n">
        <v>2</v>
      </c>
      <c r="D20" s="0" t="s">
        <v>111</v>
      </c>
    </row>
    <row r="21" customFormat="false" ht="15" hidden="false" customHeight="false" outlineLevel="0" collapsed="false">
      <c r="D21" s="0" t="s">
        <v>163</v>
      </c>
    </row>
    <row r="22" customFormat="false" ht="15" hidden="false" customHeight="false" outlineLevel="0" collapsed="false">
      <c r="D22" s="0" t="s">
        <v>164</v>
      </c>
    </row>
    <row r="23" customFormat="false" ht="15" hidden="false" customHeight="false" outlineLevel="0" collapsed="false">
      <c r="D23" s="0" t="s">
        <v>165</v>
      </c>
    </row>
    <row r="24" customFormat="false" ht="15" hidden="false" customHeight="false" outlineLevel="0" collapsed="false">
      <c r="D24" s="0" t="s">
        <v>166</v>
      </c>
    </row>
    <row r="25" customFormat="false" ht="15" hidden="false" customHeight="false" outlineLevel="0" collapsed="false">
      <c r="D25" s="0" t="s">
        <v>167</v>
      </c>
    </row>
    <row r="26" customFormat="false" ht="15" hidden="false" customHeight="false" outlineLevel="0" collapsed="false">
      <c r="D26" s="0" t="s">
        <v>168</v>
      </c>
    </row>
    <row r="27" customFormat="false" ht="15" hidden="false" customHeight="false" outlineLevel="0" collapsed="false">
      <c r="D27" s="0" t="s">
        <v>169</v>
      </c>
    </row>
    <row r="28" customFormat="false" ht="15" hidden="false" customHeight="false" outlineLevel="0" collapsed="false">
      <c r="D28" s="0" t="s">
        <v>170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Bree_XLSX_Editor/1.0.0.$MacOSX_AARCH64 LibreOffice_project/47761b6a7de154dd20e1ecc421dc423e18d9b445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